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<sst xmlns="http://schemas.openxmlformats.org/spreadsheetml/2006/main" count="32" uniqueCount="28">
  <si>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BETCHEM ETHIOPIA TRADING PLC</t>
  </si>
  <si>
    <t>Addis Ababa, Ethiopia 
Sub-City - Kirkos Wereda 05
H.Number 130/08
email address: info@bet-chem.com</t>
  </si>
  <si>
    <t>Chemical wholesale and distributor</t>
  </si>
  <si>
    <t>INVOICE TO:</t>
  </si>
  <si>
    <t>DATE</t>
  </si>
  <si>
    <t>INVOICE NO.</t>
  </si>
  <si>
    <t>ADDRESS</t>
  </si>
  <si>
    <t>CONTACT NO. :+251962199536</t>
  </si>
  <si>
    <t>TIN NO.</t>
  </si>
  <si>
    <t>CONTACT</t>
  </si>
  <si>
    <t>EMAIL</t>
  </si>
  <si>
    <t>Description</t>
  </si>
  <si>
    <t>Qty</t>
  </si>
  <si>
    <t>Price</t>
  </si>
  <si>
    <t>Total</t>
  </si>
  <si>
    <t>Service Description</t>
  </si>
  <si>
    <t>SUB TOTAL</t>
  </si>
  <si>
    <t>VAT</t>
  </si>
  <si>
    <t>GRAND TOTAL</t>
  </si>
  <si>
    <t>Bank Detail</t>
  </si>
  <si>
    <r>
      <rPr>
        <b/>
        <sz val="11"/>
        <color theme="1"/>
        <rFont val="Bookman Old Style"/>
        <charset val="134"/>
      </rPr>
      <t xml:space="preserve">Name of Account: </t>
    </r>
    <r>
      <rPr>
        <sz val="11"/>
        <color theme="1"/>
        <rFont val="Bookman Old Style"/>
        <charset val="134"/>
      </rPr>
      <t>Betchem Ethiopia Trading PLC</t>
    </r>
  </si>
  <si>
    <r>
      <rPr>
        <b/>
        <sz val="11"/>
        <color theme="1"/>
        <rFont val="Bookman Old Style"/>
        <charset val="134"/>
      </rPr>
      <t>Bank Name:</t>
    </r>
    <r>
      <rPr>
        <sz val="11"/>
        <color theme="1"/>
        <rFont val="Bookman Old Style"/>
        <charset val="134"/>
      </rPr>
      <t xml:space="preserve"> Dashen Bank</t>
    </r>
  </si>
  <si>
    <r>
      <rPr>
        <b/>
        <sz val="11"/>
        <color theme="1"/>
        <rFont val="Bookman Old Style"/>
        <charset val="134"/>
      </rPr>
      <t xml:space="preserve">Account Number: </t>
    </r>
    <r>
      <rPr>
        <sz val="11"/>
        <color theme="1"/>
        <rFont val="Bookman Old Style"/>
        <charset val="134"/>
      </rPr>
      <t>7981270743711</t>
    </r>
  </si>
  <si>
    <r>
      <rPr>
        <b/>
        <sz val="11"/>
        <color theme="1"/>
        <rFont val="Bookman Old Style"/>
        <charset val="134"/>
      </rPr>
      <t xml:space="preserve">Branch Name: </t>
    </r>
    <r>
      <rPr>
        <sz val="11"/>
        <color theme="1"/>
        <rFont val="Bookman Old Style"/>
        <charset val="134"/>
      </rPr>
      <t>Bulgaria</t>
    </r>
  </si>
  <si>
    <t>Terms and Conditions</t>
  </si>
  <si>
    <t>delivery is scheduled for two months, with payment terms requiring a 50% advance upon contract signing, 25% upon goods arrival at the dry port, and the remaining 25% upon final delivery</t>
  </si>
  <si>
    <t>Selam Molla</t>
  </si>
  <si>
    <t>Sales and Account executive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</si>
</sst>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theme="1"/>
      <name val="Calibri"/>
      <charset val="134"/>
      <scheme val="minor"/>
    </font>
    <font>
      <sz val="18"/>
      <color rgb="FF532061"/>
      <name val="Arial Black"/>
      <charset val="134"/>
    </font>
    <font>
      <sz val="9"/>
      <color rgb="FF4F1A70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2.5"/>
      <color theme="1"/>
      <name val="Arial"/>
      <charset val="134"/>
    </font>
    <font>
      <sz val="9"/>
      <color theme="1"/>
      <name val="Arial Black"/>
      <charset val="134"/>
    </font>
    <font>
      <sz val="10"/>
      <color theme="1"/>
      <name val="Calibri"/>
      <charset val="134"/>
      <scheme val="minor"/>
    </font>
    <font>
      <b/>
      <sz val="9"/>
      <color rgb="FF532061"/>
      <name val="Bookman Old Style"/>
      <charset val="134"/>
    </font>
    <font>
      <b/>
      <sz val="9"/>
      <color rgb="FF4F1A70"/>
      <name val="Bookman Old Style"/>
      <charset val="134"/>
    </font>
    <font>
      <sz val="11"/>
      <color theme="1"/>
      <name val="Bookman Old Style"/>
      <charset val="134"/>
    </font>
    <font>
      <sz val="11"/>
      <color rgb="FF800080"/>
      <name val="Bookman Old Style"/>
      <charset val="134"/>
    </font>
    <font>
      <sz val="11"/>
      <name val="Bookman Old Style"/>
      <charset val="134"/>
    </font>
    <font>
      <b/>
      <sz val="11"/>
      <color theme="0"/>
      <name val="Bookman Old Style"/>
      <charset val="134"/>
    </font>
    <font>
      <b/>
      <sz val="11"/>
      <color rgb="FF7030A0"/>
      <name val="Bookman Old Style"/>
      <charset val="134"/>
    </font>
    <font>
      <sz val="11"/>
      <color theme="0"/>
      <name val="Bookman Old Style"/>
      <charset val="134"/>
    </font>
    <font>
      <b/>
      <sz val="11"/>
      <color rgb="FF4F1A70"/>
      <name val="Bookman Old Style"/>
      <charset val="134"/>
    </font>
    <font>
      <sz val="13.5"/>
      <color rgb="FF7D3FF0"/>
      <name val="Arial Black"/>
      <charset val="134"/>
    </font>
    <font>
      <i/>
      <sz val="10"/>
      <color theme="1"/>
      <name val="Bookman Old Style"/>
      <charset val="134"/>
    </font>
    <font>
      <b/>
      <sz val="11"/>
      <color theme="1"/>
      <name val="Bookman Old Style"/>
      <charset val="134"/>
    </font>
    <font>
      <b/>
      <sz val="10"/>
      <color rgb="FF800080"/>
      <name val="Arial Black"/>
      <charset val="134"/>
    </font>
    <font>
      <sz val="11"/>
      <color rgb="FF800080"/>
      <name val="Arial Black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1A7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5" borderId="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4" applyNumberFormat="0" applyAlignment="0" applyProtection="0">
      <alignment vertical="center"/>
    </xf>
    <xf numFmtId="0" fontId="31" fillId="7" borderId="5" applyNumberFormat="0" applyAlignment="0" applyProtection="0">
      <alignment vertical="center"/>
    </xf>
    <xf numFmtId="0" fontId="32" fillId="7" borderId="4" applyNumberFormat="0" applyAlignment="0" applyProtection="0">
      <alignment vertical="center"/>
    </xf>
    <xf numFmtId="0" fontId="33" fillId="8" borderId="6" applyNumberFormat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 vertical="top" indent="1"/>
    </xf>
    <xf numFmtId="0" fontId="8" fillId="0" borderId="0" xfId="0" applyFont="1" applyAlignment="1">
      <alignment horizontal="center" wrapText="1"/>
    </xf>
    <xf numFmtId="0" fontId="9" fillId="0" borderId="0" xfId="0" applyFont="1"/>
    <xf numFmtId="0" fontId="10" fillId="0" borderId="0" xfId="0" applyFont="1"/>
    <xf numFmtId="0" fontId="11" fillId="2" borderId="0" xfId="0" applyFont="1" applyFill="1"/>
    <xf numFmtId="0" fontId="12" fillId="3" borderId="0" xfId="0" applyFont="1" applyFill="1"/>
    <xf numFmtId="0" fontId="12" fillId="0" borderId="0" xfId="0" applyFont="1" applyFill="1"/>
    <xf numFmtId="0" fontId="11" fillId="0" borderId="0" xfId="0" applyFont="1" applyFill="1"/>
    <xf numFmtId="0" fontId="11" fillId="4" borderId="0" xfId="0" applyFont="1" applyFill="1"/>
    <xf numFmtId="0" fontId="11" fillId="4" borderId="0" xfId="0" applyNumberFormat="1" applyFont="1" applyFill="1"/>
    <xf numFmtId="0" fontId="13" fillId="4" borderId="0" xfId="0" applyFont="1" applyFill="1"/>
    <xf numFmtId="0" fontId="9" fillId="4" borderId="0" xfId="0" applyFont="1" applyFill="1"/>
    <xf numFmtId="0" fontId="9" fillId="0" borderId="0" xfId="0" applyFont="1" applyFill="1"/>
    <xf numFmtId="0" fontId="9" fillId="2" borderId="0" xfId="0" applyFont="1" applyFill="1"/>
    <xf numFmtId="0" fontId="13" fillId="2" borderId="0" xfId="0" applyFont="1" applyFill="1"/>
    <xf numFmtId="9" fontId="9" fillId="2" borderId="0" xfId="0" applyNumberFormat="1" applyFont="1" applyFill="1"/>
    <xf numFmtId="0" fontId="14" fillId="3" borderId="0" xfId="0" applyFont="1" applyFill="1"/>
    <xf numFmtId="0" fontId="14" fillId="0" borderId="0" xfId="0" applyFont="1" applyFill="1"/>
    <xf numFmtId="0" fontId="15" fillId="0" borderId="0" xfId="0" applyFont="1" applyFill="1"/>
    <xf numFmtId="0" fontId="0" fillId="0" borderId="0" xfId="0" applyFill="1"/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/>
    <xf numFmtId="0" fontId="18" fillId="0" borderId="0" xfId="0" applyFont="1" applyFill="1"/>
    <xf numFmtId="0" fontId="19" fillId="0" borderId="0" xfId="0" applyFont="1"/>
    <xf numFmtId="0" fontId="2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name val="Bookman Old Style"/>
        <scheme val="none"/>
        <family val="1"/>
        <strike val="0"/>
        <u val="none"/>
      </font>
    </dxf>
    <dxf>
      <font>
        <name val="Bookman Old Style"/>
        <scheme val="none"/>
        <family val="1"/>
        <strike val="0"/>
        <u val="none"/>
      </font>
    </dxf>
    <dxf>
      <font>
        <name val="Bookman Old Style"/>
        <scheme val="none"/>
        <family val="1"/>
        <strike val="0"/>
        <u val="none"/>
      </font>
    </dxf>
    <dxf>
      <font>
        <name val="Bookman Old Style"/>
        <scheme val="none"/>
        <family val="1"/>
        <strike val="0"/>
        <u val="none"/>
      </font>
    </dxf>
  </dxfs>
  <tableStyles count="0" defaultTableStyle="TableStyleMedium2" defaultPivotStyle="PivotStyleLight16"/>
  <colors>
    <mruColors>
      <color rgb="004F1A70"/>
      <color rgb="00CC99FF"/>
      <color rgb="00BC77BF"/>
      <color rgb="008000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190499</xdr:rowOff>
    </xdr:from>
    <xdr:to>
      <xdr:col>6</xdr:col>
      <xdr:colOff>152400</xdr:colOff>
      <xdr:row>7</xdr:row>
      <xdr:rowOff>106680</xdr:rowOff>
    </xdr:to>
    <xdr:sp>
      <xdr:nvSpPr>
        <xdr:cNvPr id="11" name="Graphic 6"/>
        <xdr:cNvSpPr/>
      </xdr:nvSpPr>
      <xdr:spPr>
        <a:xfrm>
          <a:off x="0" y="1210945"/>
          <a:ext cx="6012180" cy="739775"/>
        </a:xfrm>
        <a:custGeom>
          <a:avLst/>
          <a:gdLst/>
          <a:ahLst/>
          <a:cxnLst/>
          <a:rect l="l" t="t" r="r" b="b"/>
          <a:pathLst>
            <a:path w="7562850" h="1134745">
              <a:moveTo>
                <a:pt x="7562837" y="276694"/>
              </a:moveTo>
              <a:lnTo>
                <a:pt x="7246086" y="276694"/>
              </a:lnTo>
              <a:lnTo>
                <a:pt x="6969392" y="0"/>
              </a:lnTo>
              <a:lnTo>
                <a:pt x="3886187" y="0"/>
              </a:lnTo>
              <a:lnTo>
                <a:pt x="3609492" y="276694"/>
              </a:lnTo>
              <a:lnTo>
                <a:pt x="0" y="276694"/>
              </a:lnTo>
              <a:lnTo>
                <a:pt x="0" y="834110"/>
              </a:lnTo>
              <a:lnTo>
                <a:pt x="3585870" y="834110"/>
              </a:lnTo>
              <a:lnTo>
                <a:pt x="3886187" y="1134427"/>
              </a:lnTo>
              <a:lnTo>
                <a:pt x="6969392" y="1134427"/>
              </a:lnTo>
              <a:lnTo>
                <a:pt x="7270509" y="833310"/>
              </a:lnTo>
              <a:lnTo>
                <a:pt x="7562837" y="833310"/>
              </a:lnTo>
              <a:lnTo>
                <a:pt x="7562837" y="276694"/>
              </a:lnTo>
              <a:close/>
            </a:path>
          </a:pathLst>
        </a:custGeom>
        <a:solidFill>
          <a:srgbClr val="532061"/>
        </a:solidFill>
      </xdr:spPr>
      <xdr:txBody>
        <a:bodyPr wrap="square" lIns="0" tIns="0" rIns="0" bIns="0" rtlCol="0">
          <a:noAutofit/>
        </a:bodyPr>
        <a:lstStyle/>
        <a:p>
          <a:endParaRPr lang="en-US"/>
        </a:p>
      </xdr:txBody>
    </xdr:sp>
    <xdr:clientData/>
  </xdr:twoCellAnchor>
  <xdr:twoCellAnchor>
    <xdr:from>
      <xdr:col>2</xdr:col>
      <xdr:colOff>1402080</xdr:colOff>
      <xdr:row>0</xdr:row>
      <xdr:rowOff>15240</xdr:rowOff>
    </xdr:from>
    <xdr:to>
      <xdr:col>3</xdr:col>
      <xdr:colOff>15240</xdr:colOff>
      <xdr:row>1</xdr:row>
      <xdr:rowOff>335281</xdr:rowOff>
    </xdr:to>
    <xdr:grpSp>
      <xdr:nvGrpSpPr>
        <xdr:cNvPr id="12" name="Group 11"/>
        <xdr:cNvGrpSpPr/>
      </xdr:nvGrpSpPr>
      <xdr:grpSpPr>
        <a:xfrm>
          <a:off x="2468880" y="15240"/>
          <a:ext cx="502920" cy="502920"/>
          <a:chOff x="0" y="0"/>
          <a:chExt cx="1076960" cy="989965"/>
        </a:xfrm>
      </xdr:grpSpPr>
      <xdr:pic>
        <xdr:nvPicPr>
          <xdr:cNvPr id="13" name="Image 2"/>
          <xdr:cNvPicPr/>
        </xdr:nvPicPr>
        <xdr:blipFill>
          <a:blip r:embed="rId1" cstate="print"/>
          <a:stretch>
            <a:fillRect/>
          </a:stretch>
        </xdr:blipFill>
        <xdr:spPr>
          <a:xfrm>
            <a:off x="71432" y="31938"/>
            <a:ext cx="77328" cy="90294"/>
          </a:xfrm>
          <a:prstGeom prst="rect">
            <a:avLst/>
          </a:prstGeom>
        </xdr:spPr>
      </xdr:pic>
      <xdr:sp>
        <xdr:nvSpPr>
          <xdr:cNvPr id="14" name="Graphic 3"/>
          <xdr:cNvSpPr/>
        </xdr:nvSpPr>
        <xdr:spPr>
          <a:xfrm>
            <a:off x="0" y="9"/>
            <a:ext cx="1076960" cy="812800"/>
          </a:xfrm>
          <a:custGeom>
            <a:avLst/>
            <a:gdLst/>
            <a:ahLst/>
            <a:cxnLst/>
            <a:rect l="l" t="t" r="r" b="b"/>
            <a:pathLst>
              <a:path w="1076960" h="812800">
                <a:moveTo>
                  <a:pt x="78625" y="193560"/>
                </a:moveTo>
                <a:lnTo>
                  <a:pt x="77914" y="183337"/>
                </a:lnTo>
                <a:lnTo>
                  <a:pt x="70269" y="175221"/>
                </a:lnTo>
                <a:lnTo>
                  <a:pt x="23723" y="151320"/>
                </a:lnTo>
                <a:lnTo>
                  <a:pt x="17487" y="149567"/>
                </a:lnTo>
                <a:lnTo>
                  <a:pt x="11277" y="150304"/>
                </a:lnTo>
                <a:lnTo>
                  <a:pt x="5791" y="153314"/>
                </a:lnTo>
                <a:lnTo>
                  <a:pt x="1765" y="158381"/>
                </a:lnTo>
                <a:lnTo>
                  <a:pt x="0" y="164617"/>
                </a:lnTo>
                <a:lnTo>
                  <a:pt x="736" y="170827"/>
                </a:lnTo>
                <a:lnTo>
                  <a:pt x="3746" y="176314"/>
                </a:lnTo>
                <a:lnTo>
                  <a:pt x="8813" y="180352"/>
                </a:lnTo>
                <a:lnTo>
                  <a:pt x="36207" y="194322"/>
                </a:lnTo>
                <a:lnTo>
                  <a:pt x="50939" y="202044"/>
                </a:lnTo>
                <a:lnTo>
                  <a:pt x="58102" y="205346"/>
                </a:lnTo>
                <a:lnTo>
                  <a:pt x="62814" y="206044"/>
                </a:lnTo>
                <a:lnTo>
                  <a:pt x="73304" y="202323"/>
                </a:lnTo>
                <a:lnTo>
                  <a:pt x="78625" y="193560"/>
                </a:lnTo>
                <a:close/>
              </a:path>
              <a:path w="1076960" h="812800">
                <a:moveTo>
                  <a:pt x="247637" y="82397"/>
                </a:moveTo>
                <a:lnTo>
                  <a:pt x="233997" y="5956"/>
                </a:lnTo>
                <a:lnTo>
                  <a:pt x="225386" y="0"/>
                </a:lnTo>
                <a:lnTo>
                  <a:pt x="207772" y="3225"/>
                </a:lnTo>
                <a:lnTo>
                  <a:pt x="201841" y="11709"/>
                </a:lnTo>
                <a:lnTo>
                  <a:pt x="215506" y="88201"/>
                </a:lnTo>
                <a:lnTo>
                  <a:pt x="224091" y="94056"/>
                </a:lnTo>
                <a:lnTo>
                  <a:pt x="232854" y="92456"/>
                </a:lnTo>
                <a:lnTo>
                  <a:pt x="241706" y="90868"/>
                </a:lnTo>
                <a:lnTo>
                  <a:pt x="247637" y="82397"/>
                </a:lnTo>
                <a:close/>
              </a:path>
              <a:path w="1076960" h="812800">
                <a:moveTo>
                  <a:pt x="1076464" y="285254"/>
                </a:moveTo>
                <a:lnTo>
                  <a:pt x="1076401" y="240957"/>
                </a:lnTo>
                <a:lnTo>
                  <a:pt x="1071003" y="202082"/>
                </a:lnTo>
                <a:lnTo>
                  <a:pt x="1056144" y="164960"/>
                </a:lnTo>
                <a:lnTo>
                  <a:pt x="1043813" y="149796"/>
                </a:lnTo>
                <a:lnTo>
                  <a:pt x="1043813" y="249313"/>
                </a:lnTo>
                <a:lnTo>
                  <a:pt x="1043698" y="253492"/>
                </a:lnTo>
                <a:lnTo>
                  <a:pt x="1042860" y="284429"/>
                </a:lnTo>
                <a:lnTo>
                  <a:pt x="1042784" y="285254"/>
                </a:lnTo>
                <a:lnTo>
                  <a:pt x="1039749" y="317055"/>
                </a:lnTo>
                <a:lnTo>
                  <a:pt x="869416" y="309994"/>
                </a:lnTo>
                <a:lnTo>
                  <a:pt x="869416" y="580491"/>
                </a:lnTo>
                <a:lnTo>
                  <a:pt x="868857" y="610577"/>
                </a:lnTo>
                <a:lnTo>
                  <a:pt x="851319" y="635076"/>
                </a:lnTo>
                <a:lnTo>
                  <a:pt x="824852" y="644728"/>
                </a:lnTo>
                <a:lnTo>
                  <a:pt x="797242" y="639013"/>
                </a:lnTo>
                <a:lnTo>
                  <a:pt x="776312" y="617359"/>
                </a:lnTo>
                <a:lnTo>
                  <a:pt x="771067" y="598119"/>
                </a:lnTo>
                <a:lnTo>
                  <a:pt x="773518" y="579005"/>
                </a:lnTo>
                <a:lnTo>
                  <a:pt x="782942" y="562203"/>
                </a:lnTo>
                <a:lnTo>
                  <a:pt x="798614" y="549897"/>
                </a:lnTo>
                <a:lnTo>
                  <a:pt x="828446" y="544982"/>
                </a:lnTo>
                <a:lnTo>
                  <a:pt x="853998" y="556895"/>
                </a:lnTo>
                <a:lnTo>
                  <a:pt x="869416" y="580491"/>
                </a:lnTo>
                <a:lnTo>
                  <a:pt x="869416" y="309994"/>
                </a:lnTo>
                <a:lnTo>
                  <a:pt x="835456" y="308584"/>
                </a:lnTo>
                <a:lnTo>
                  <a:pt x="835456" y="415112"/>
                </a:lnTo>
                <a:lnTo>
                  <a:pt x="830541" y="430276"/>
                </a:lnTo>
                <a:lnTo>
                  <a:pt x="819124" y="441350"/>
                </a:lnTo>
                <a:lnTo>
                  <a:pt x="803046" y="445643"/>
                </a:lnTo>
                <a:lnTo>
                  <a:pt x="782015" y="438162"/>
                </a:lnTo>
                <a:lnTo>
                  <a:pt x="771525" y="420560"/>
                </a:lnTo>
                <a:lnTo>
                  <a:pt x="771880" y="416052"/>
                </a:lnTo>
                <a:lnTo>
                  <a:pt x="771956" y="415112"/>
                </a:lnTo>
                <a:lnTo>
                  <a:pt x="773137" y="400126"/>
                </a:lnTo>
                <a:lnTo>
                  <a:pt x="788403" y="384136"/>
                </a:lnTo>
                <a:lnTo>
                  <a:pt x="800836" y="380733"/>
                </a:lnTo>
                <a:lnTo>
                  <a:pt x="813193" y="382320"/>
                </a:lnTo>
                <a:lnTo>
                  <a:pt x="824064" y="388429"/>
                </a:lnTo>
                <a:lnTo>
                  <a:pt x="832040" y="398576"/>
                </a:lnTo>
                <a:lnTo>
                  <a:pt x="835456" y="415112"/>
                </a:lnTo>
                <a:lnTo>
                  <a:pt x="835456" y="308584"/>
                </a:lnTo>
                <a:lnTo>
                  <a:pt x="784809" y="306476"/>
                </a:lnTo>
                <a:lnTo>
                  <a:pt x="690753" y="302577"/>
                </a:lnTo>
                <a:lnTo>
                  <a:pt x="690753" y="496951"/>
                </a:lnTo>
                <a:lnTo>
                  <a:pt x="689864" y="504291"/>
                </a:lnTo>
                <a:lnTo>
                  <a:pt x="686193" y="510717"/>
                </a:lnTo>
                <a:lnTo>
                  <a:pt x="680554" y="515073"/>
                </a:lnTo>
                <a:lnTo>
                  <a:pt x="673671" y="517004"/>
                </a:lnTo>
                <a:lnTo>
                  <a:pt x="666330" y="516115"/>
                </a:lnTo>
                <a:lnTo>
                  <a:pt x="659917" y="512445"/>
                </a:lnTo>
                <a:lnTo>
                  <a:pt x="655561" y="506806"/>
                </a:lnTo>
                <a:lnTo>
                  <a:pt x="653630" y="499935"/>
                </a:lnTo>
                <a:lnTo>
                  <a:pt x="654507" y="492594"/>
                </a:lnTo>
                <a:lnTo>
                  <a:pt x="658177" y="486168"/>
                </a:lnTo>
                <a:lnTo>
                  <a:pt x="663829" y="481812"/>
                </a:lnTo>
                <a:lnTo>
                  <a:pt x="670699" y="479882"/>
                </a:lnTo>
                <a:lnTo>
                  <a:pt x="678040" y="480771"/>
                </a:lnTo>
                <a:lnTo>
                  <a:pt x="684453" y="484428"/>
                </a:lnTo>
                <a:lnTo>
                  <a:pt x="688822" y="490080"/>
                </a:lnTo>
                <a:lnTo>
                  <a:pt x="690753" y="496951"/>
                </a:lnTo>
                <a:lnTo>
                  <a:pt x="690753" y="302577"/>
                </a:lnTo>
                <a:lnTo>
                  <a:pt x="560844" y="297192"/>
                </a:lnTo>
                <a:lnTo>
                  <a:pt x="560844" y="385508"/>
                </a:lnTo>
                <a:lnTo>
                  <a:pt x="555955" y="400672"/>
                </a:lnTo>
                <a:lnTo>
                  <a:pt x="544563" y="411759"/>
                </a:lnTo>
                <a:lnTo>
                  <a:pt x="528472" y="416052"/>
                </a:lnTo>
                <a:lnTo>
                  <a:pt x="507415" y="408597"/>
                </a:lnTo>
                <a:lnTo>
                  <a:pt x="496874" y="391045"/>
                </a:lnTo>
                <a:lnTo>
                  <a:pt x="496925" y="390423"/>
                </a:lnTo>
                <a:lnTo>
                  <a:pt x="498449" y="370840"/>
                </a:lnTo>
                <a:lnTo>
                  <a:pt x="498462" y="370636"/>
                </a:lnTo>
                <a:lnTo>
                  <a:pt x="513803" y="354584"/>
                </a:lnTo>
                <a:lnTo>
                  <a:pt x="526199" y="351167"/>
                </a:lnTo>
                <a:lnTo>
                  <a:pt x="538543" y="352755"/>
                </a:lnTo>
                <a:lnTo>
                  <a:pt x="549427" y="358851"/>
                </a:lnTo>
                <a:lnTo>
                  <a:pt x="557403" y="368973"/>
                </a:lnTo>
                <a:lnTo>
                  <a:pt x="560844" y="385508"/>
                </a:lnTo>
                <a:lnTo>
                  <a:pt x="560844" y="297192"/>
                </a:lnTo>
                <a:lnTo>
                  <a:pt x="323545" y="287350"/>
                </a:lnTo>
                <a:lnTo>
                  <a:pt x="324459" y="284835"/>
                </a:lnTo>
                <a:lnTo>
                  <a:pt x="325488" y="282270"/>
                </a:lnTo>
                <a:lnTo>
                  <a:pt x="326301" y="279819"/>
                </a:lnTo>
                <a:lnTo>
                  <a:pt x="331114" y="263702"/>
                </a:lnTo>
                <a:lnTo>
                  <a:pt x="335114" y="246684"/>
                </a:lnTo>
                <a:lnTo>
                  <a:pt x="338086" y="229247"/>
                </a:lnTo>
                <a:lnTo>
                  <a:pt x="339737" y="211950"/>
                </a:lnTo>
                <a:lnTo>
                  <a:pt x="394652" y="231114"/>
                </a:lnTo>
                <a:lnTo>
                  <a:pt x="424789" y="239331"/>
                </a:lnTo>
                <a:lnTo>
                  <a:pt x="455510" y="243751"/>
                </a:lnTo>
                <a:lnTo>
                  <a:pt x="486676" y="244386"/>
                </a:lnTo>
                <a:lnTo>
                  <a:pt x="518198" y="241211"/>
                </a:lnTo>
                <a:lnTo>
                  <a:pt x="700303" y="211950"/>
                </a:lnTo>
                <a:lnTo>
                  <a:pt x="701408" y="211759"/>
                </a:lnTo>
                <a:lnTo>
                  <a:pt x="991539" y="165138"/>
                </a:lnTo>
                <a:lnTo>
                  <a:pt x="1030605" y="184658"/>
                </a:lnTo>
                <a:lnTo>
                  <a:pt x="1043813" y="249313"/>
                </a:lnTo>
                <a:lnTo>
                  <a:pt x="1043813" y="149796"/>
                </a:lnTo>
                <a:lnTo>
                  <a:pt x="1029246" y="139255"/>
                </a:lnTo>
                <a:lnTo>
                  <a:pt x="1008735" y="132740"/>
                </a:lnTo>
                <a:lnTo>
                  <a:pt x="986383" y="132918"/>
                </a:lnTo>
                <a:lnTo>
                  <a:pt x="513029" y="208991"/>
                </a:lnTo>
                <a:lnTo>
                  <a:pt x="485432" y="211759"/>
                </a:lnTo>
                <a:lnTo>
                  <a:pt x="431457" y="207391"/>
                </a:lnTo>
                <a:lnTo>
                  <a:pt x="337388" y="176555"/>
                </a:lnTo>
                <a:lnTo>
                  <a:pt x="322961" y="148501"/>
                </a:lnTo>
                <a:lnTo>
                  <a:pt x="307390" y="142684"/>
                </a:lnTo>
                <a:lnTo>
                  <a:pt x="307390" y="206019"/>
                </a:lnTo>
                <a:lnTo>
                  <a:pt x="304368" y="234530"/>
                </a:lnTo>
                <a:lnTo>
                  <a:pt x="291592" y="279971"/>
                </a:lnTo>
                <a:lnTo>
                  <a:pt x="279844" y="306476"/>
                </a:lnTo>
                <a:lnTo>
                  <a:pt x="278650" y="305066"/>
                </a:lnTo>
                <a:lnTo>
                  <a:pt x="277749" y="304012"/>
                </a:lnTo>
                <a:lnTo>
                  <a:pt x="274777" y="302920"/>
                </a:lnTo>
                <a:lnTo>
                  <a:pt x="271564" y="302920"/>
                </a:lnTo>
                <a:lnTo>
                  <a:pt x="264477" y="302183"/>
                </a:lnTo>
                <a:lnTo>
                  <a:pt x="256844" y="302183"/>
                </a:lnTo>
                <a:lnTo>
                  <a:pt x="246189" y="303136"/>
                </a:lnTo>
                <a:lnTo>
                  <a:pt x="235534" y="305066"/>
                </a:lnTo>
                <a:lnTo>
                  <a:pt x="236893" y="293852"/>
                </a:lnTo>
                <a:lnTo>
                  <a:pt x="246735" y="253492"/>
                </a:lnTo>
                <a:lnTo>
                  <a:pt x="261810" y="217119"/>
                </a:lnTo>
                <a:lnTo>
                  <a:pt x="291693" y="177088"/>
                </a:lnTo>
                <a:lnTo>
                  <a:pt x="301320" y="173545"/>
                </a:lnTo>
                <a:lnTo>
                  <a:pt x="305892" y="185280"/>
                </a:lnTo>
                <a:lnTo>
                  <a:pt x="305930" y="185699"/>
                </a:lnTo>
                <a:lnTo>
                  <a:pt x="307390" y="206019"/>
                </a:lnTo>
                <a:lnTo>
                  <a:pt x="307390" y="142684"/>
                </a:lnTo>
                <a:lnTo>
                  <a:pt x="241846" y="185699"/>
                </a:lnTo>
                <a:lnTo>
                  <a:pt x="215773" y="243230"/>
                </a:lnTo>
                <a:lnTo>
                  <a:pt x="205828" y="282867"/>
                </a:lnTo>
                <a:lnTo>
                  <a:pt x="203136" y="306476"/>
                </a:lnTo>
                <a:lnTo>
                  <a:pt x="202539" y="320586"/>
                </a:lnTo>
                <a:lnTo>
                  <a:pt x="176466" y="352628"/>
                </a:lnTo>
                <a:lnTo>
                  <a:pt x="176428" y="352755"/>
                </a:lnTo>
                <a:lnTo>
                  <a:pt x="161759" y="394487"/>
                </a:lnTo>
                <a:lnTo>
                  <a:pt x="156591" y="440893"/>
                </a:lnTo>
                <a:lnTo>
                  <a:pt x="156616" y="441350"/>
                </a:lnTo>
                <a:lnTo>
                  <a:pt x="159092" y="486562"/>
                </a:lnTo>
                <a:lnTo>
                  <a:pt x="167449" y="526211"/>
                </a:lnTo>
                <a:lnTo>
                  <a:pt x="179514" y="566470"/>
                </a:lnTo>
                <a:lnTo>
                  <a:pt x="188518" y="604266"/>
                </a:lnTo>
                <a:lnTo>
                  <a:pt x="188531" y="604405"/>
                </a:lnTo>
                <a:lnTo>
                  <a:pt x="192697" y="643013"/>
                </a:lnTo>
                <a:lnTo>
                  <a:pt x="192608" y="644728"/>
                </a:lnTo>
                <a:lnTo>
                  <a:pt x="190334" y="686371"/>
                </a:lnTo>
                <a:lnTo>
                  <a:pt x="186778" y="700278"/>
                </a:lnTo>
                <a:lnTo>
                  <a:pt x="181698" y="716356"/>
                </a:lnTo>
                <a:lnTo>
                  <a:pt x="178638" y="732675"/>
                </a:lnTo>
                <a:lnTo>
                  <a:pt x="181102" y="747318"/>
                </a:lnTo>
                <a:lnTo>
                  <a:pt x="197561" y="766902"/>
                </a:lnTo>
                <a:lnTo>
                  <a:pt x="220459" y="777417"/>
                </a:lnTo>
                <a:lnTo>
                  <a:pt x="246240" y="780757"/>
                </a:lnTo>
                <a:lnTo>
                  <a:pt x="271386" y="778827"/>
                </a:lnTo>
                <a:lnTo>
                  <a:pt x="276339" y="777989"/>
                </a:lnTo>
                <a:lnTo>
                  <a:pt x="280670" y="771944"/>
                </a:lnTo>
                <a:lnTo>
                  <a:pt x="280352" y="766902"/>
                </a:lnTo>
                <a:lnTo>
                  <a:pt x="275996" y="730465"/>
                </a:lnTo>
                <a:lnTo>
                  <a:pt x="270522" y="695337"/>
                </a:lnTo>
                <a:lnTo>
                  <a:pt x="268338" y="659752"/>
                </a:lnTo>
                <a:lnTo>
                  <a:pt x="273824" y="621766"/>
                </a:lnTo>
                <a:lnTo>
                  <a:pt x="280428" y="604405"/>
                </a:lnTo>
                <a:lnTo>
                  <a:pt x="280504" y="604266"/>
                </a:lnTo>
                <a:lnTo>
                  <a:pt x="288442" y="588479"/>
                </a:lnTo>
                <a:lnTo>
                  <a:pt x="295351" y="572071"/>
                </a:lnTo>
                <a:lnTo>
                  <a:pt x="298653" y="553262"/>
                </a:lnTo>
                <a:lnTo>
                  <a:pt x="295744" y="524878"/>
                </a:lnTo>
                <a:lnTo>
                  <a:pt x="287909" y="495769"/>
                </a:lnTo>
                <a:lnTo>
                  <a:pt x="279120" y="466559"/>
                </a:lnTo>
                <a:lnTo>
                  <a:pt x="273342" y="437832"/>
                </a:lnTo>
                <a:lnTo>
                  <a:pt x="272821" y="420916"/>
                </a:lnTo>
                <a:lnTo>
                  <a:pt x="272846" y="420560"/>
                </a:lnTo>
                <a:lnTo>
                  <a:pt x="274256" y="404114"/>
                </a:lnTo>
                <a:lnTo>
                  <a:pt x="276898" y="387413"/>
                </a:lnTo>
                <a:lnTo>
                  <a:pt x="279958" y="370840"/>
                </a:lnTo>
                <a:lnTo>
                  <a:pt x="342468" y="390423"/>
                </a:lnTo>
                <a:lnTo>
                  <a:pt x="391591" y="413207"/>
                </a:lnTo>
                <a:lnTo>
                  <a:pt x="434238" y="447713"/>
                </a:lnTo>
                <a:lnTo>
                  <a:pt x="768743" y="791146"/>
                </a:lnTo>
                <a:lnTo>
                  <a:pt x="804189" y="812279"/>
                </a:lnTo>
                <a:lnTo>
                  <a:pt x="876236" y="787349"/>
                </a:lnTo>
                <a:lnTo>
                  <a:pt x="909269" y="753414"/>
                </a:lnTo>
                <a:lnTo>
                  <a:pt x="953477" y="685990"/>
                </a:lnTo>
                <a:lnTo>
                  <a:pt x="974674" y="644728"/>
                </a:lnTo>
                <a:lnTo>
                  <a:pt x="996848" y="595515"/>
                </a:lnTo>
                <a:lnTo>
                  <a:pt x="1016711" y="544982"/>
                </a:lnTo>
                <a:lnTo>
                  <a:pt x="1026274" y="517004"/>
                </a:lnTo>
                <a:lnTo>
                  <a:pt x="1034846" y="491921"/>
                </a:lnTo>
                <a:lnTo>
                  <a:pt x="1048270" y="445643"/>
                </a:lnTo>
                <a:lnTo>
                  <a:pt x="1062901" y="385191"/>
                </a:lnTo>
                <a:lnTo>
                  <a:pt x="1063663" y="380733"/>
                </a:lnTo>
                <a:lnTo>
                  <a:pt x="1068768" y="351167"/>
                </a:lnTo>
                <a:lnTo>
                  <a:pt x="1071778" y="333756"/>
                </a:lnTo>
                <a:lnTo>
                  <a:pt x="1073391" y="317055"/>
                </a:lnTo>
                <a:lnTo>
                  <a:pt x="1076464" y="285254"/>
                </a:lnTo>
                <a:close/>
              </a:path>
            </a:pathLst>
          </a:custGeom>
          <a:solidFill>
            <a:srgbClr val="532061"/>
          </a:solidFill>
        </xdr:spPr>
        <xdr:txBody>
          <a:bodyPr wrap="square" lIns="0" tIns="0" rIns="0" bIns="0" rtlCol="0">
            <a:noAutofit/>
          </a:bodyPr>
          <a:lstStyle/>
          <a:p>
            <a:endParaRPr lang="en-US"/>
          </a:p>
        </xdr:txBody>
      </xdr:sp>
      <xdr:pic>
        <xdr:nvPicPr>
          <xdr:cNvPr id="15" name="Image 4"/>
          <xdr:cNvPicPr/>
        </xdr:nvPicPr>
        <xdr:blipFill>
          <a:blip r:embed="rId2" cstate="print"/>
          <a:stretch>
            <a:fillRect/>
          </a:stretch>
        </xdr:blipFill>
        <xdr:spPr>
          <a:xfrm>
            <a:off x="95621" y="830637"/>
            <a:ext cx="80263" cy="159030"/>
          </a:xfrm>
          <a:prstGeom prst="rect">
            <a:avLst/>
          </a:prstGeom>
        </xdr:spPr>
      </xdr:pic>
      <xdr:pic>
        <xdr:nvPicPr>
          <xdr:cNvPr id="16" name="Image 5"/>
          <xdr:cNvPicPr/>
        </xdr:nvPicPr>
        <xdr:blipFill>
          <a:blip r:embed="rId3" cstate="print"/>
          <a:stretch>
            <a:fillRect/>
          </a:stretch>
        </xdr:blipFill>
        <xdr:spPr>
          <a:xfrm>
            <a:off x="320472" y="726947"/>
            <a:ext cx="89070" cy="182102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655320</xdr:colOff>
      <xdr:row>3</xdr:row>
      <xdr:rowOff>198120</xdr:rowOff>
    </xdr:from>
    <xdr:to>
      <xdr:col>9</xdr:col>
      <xdr:colOff>388620</xdr:colOff>
      <xdr:row>6</xdr:row>
      <xdr:rowOff>22860</xdr:rowOff>
    </xdr:to>
    <xdr:sp>
      <xdr:nvSpPr>
        <xdr:cNvPr id="17" name="TextBox 16"/>
        <xdr:cNvSpPr txBox="1"/>
      </xdr:nvSpPr>
      <xdr:spPr>
        <a:xfrm>
          <a:off x="3611880" y="1219200"/>
          <a:ext cx="5097780" cy="4419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bg1"/>
              </a:solidFill>
              <a:latin typeface="Arial Black" panose="020B0A04020102020204" pitchFamily="34" charset="0"/>
            </a:rPr>
            <a:t>INVOICE</a:t>
          </a:r>
          <a:endParaRPr lang="en-US" sz="28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3</xdr:col>
      <xdr:colOff>251460</xdr:colOff>
      <xdr:row>28</xdr:row>
      <xdr:rowOff>83789</xdr:rowOff>
    </xdr:from>
    <xdr:to>
      <xdr:col>5</xdr:col>
      <xdr:colOff>22859</xdr:colOff>
      <xdr:row>32</xdr:row>
      <xdr:rowOff>912369</xdr:rowOff>
    </xdr:to>
    <xdr:pic>
      <xdr:nvPicPr>
        <xdr:cNvPr id="19" name="Picture 1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020" y="6034405"/>
          <a:ext cx="1751965" cy="1910715"/>
        </a:xfrm>
        <a:prstGeom prst="rect">
          <a:avLst/>
        </a:prstGeom>
      </xdr:spPr>
    </xdr:pic>
    <xdr:clientData/>
  </xdr:twoCellAnchor>
  <xdr:twoCellAnchor editAs="oneCell">
    <xdr:from>
      <xdr:col>3</xdr:col>
      <xdr:colOff>91441</xdr:colOff>
      <xdr:row>32</xdr:row>
      <xdr:rowOff>43462</xdr:rowOff>
    </xdr:from>
    <xdr:to>
      <xdr:col>5</xdr:col>
      <xdr:colOff>495300</xdr:colOff>
      <xdr:row>36</xdr:row>
      <xdr:rowOff>93345</xdr:rowOff>
    </xdr:to>
    <xdr:pic>
      <xdr:nvPicPr>
        <xdr:cNvPr id="21" name="Picture 2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7076440"/>
          <a:ext cx="2385060" cy="17722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C16:F24" totalsRowShown="0">
  <autoFilter xmlns:etc="http://www.wps.cn/officeDocument/2017/etCustomData" ref="C16:F24" etc:filterBottomFollowUsedRange="0"/>
  <tableColumns count="4">
    <tableColumn id="1" name="Description" dataDxfId="0"/>
    <tableColumn id="2" name="Qty" dataDxfId="1"/>
    <tableColumn id="3" name="Price" dataDxfId="2"/>
    <tableColumn id="4" name="Total" data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O34"/>
  <sheetViews>
    <sheetView showGridLines="0" tabSelected="1" topLeftCell="A16" workbookViewId="0">
      <selection activeCell="C33" sqref="C33"/>
    </sheetView>
  </sheetViews>
  <sheetFormatPr defaultColWidth="9" defaultRowHeight="14.4"/>
  <cols>
    <col min="2" max="2" width="6.55555555555556" customWidth="1"/>
    <col min="3" max="3" width="27.5555555555556" customWidth="1"/>
    <col min="4" max="4" width="10.5555555555556" customWidth="1"/>
    <col min="5" max="5" width="18.3333333333333" customWidth="1"/>
    <col min="6" max="8" width="13.4444444444444" customWidth="1"/>
  </cols>
  <sheetData>
    <row r="2" ht="49.8" customHeight="1" spans="3:15">
      <c r="C2" s="1" t="s">
        <v>0</v>
      </c>
      <c r="D2" s="1"/>
      <c r="E2" s="2" t="s">
        <v>1</v>
      </c>
      <c r="F2" s="2"/>
      <c r="G2" s="3"/>
      <c r="H2" s="3"/>
      <c r="I2" s="3"/>
      <c r="J2" s="3"/>
      <c r="K2" s="3"/>
      <c r="L2" s="3"/>
      <c r="M2" s="3"/>
      <c r="N2" s="3"/>
      <c r="O2" s="3"/>
    </row>
    <row r="3" ht="16.2" spans="3:3">
      <c r="C3" s="4" t="s">
        <v>2</v>
      </c>
    </row>
    <row r="4" ht="16.2" spans="3:3">
      <c r="C4" s="4"/>
    </row>
    <row r="5" ht="16.2" spans="3:3">
      <c r="C5" s="4"/>
    </row>
    <row r="6" ht="16.2" spans="3:3">
      <c r="C6" s="4"/>
    </row>
    <row r="7" ht="16.2" spans="3:3">
      <c r="C7" s="4"/>
    </row>
    <row r="8" ht="16.2" customHeight="1" spans="3:11">
      <c r="C8" s="5"/>
      <c r="D8" s="6"/>
      <c r="E8" s="6"/>
      <c r="F8" s="6"/>
      <c r="G8" s="6"/>
      <c r="H8" s="6"/>
      <c r="I8" s="6"/>
      <c r="J8" s="6"/>
      <c r="K8" s="6"/>
    </row>
    <row r="9" ht="18.6" customHeight="1" spans="3:11">
      <c r="C9" s="7" t="s">
        <v>3</v>
      </c>
      <c r="D9" s="8" t="s">
        <v>4</v>
      </c>
      <c r="E9" s="8"/>
      <c r="F9" s="8"/>
      <c r="G9" s="9"/>
      <c r="H9" s="9"/>
      <c r="I9" s="34"/>
      <c r="J9" s="6"/>
      <c r="K9" s="6"/>
    </row>
    <row r="10" ht="18.6" customHeight="1" spans="3:11">
      <c r="C10" s="7"/>
      <c r="D10" s="8" t="s">
        <v>5</v>
      </c>
      <c r="E10" s="8"/>
      <c r="F10" s="8"/>
      <c r="G10" s="9"/>
      <c r="H10" s="9"/>
      <c r="I10" s="34"/>
      <c r="J10" s="6"/>
      <c r="K10" s="6"/>
    </row>
    <row r="11" ht="18.6" customHeight="1" spans="3:11">
      <c r="C11" s="10" t="s">
        <v>6</v>
      </c>
      <c r="D11" s="11" t="s">
        <v>7</v>
      </c>
      <c r="E11" s="11"/>
      <c r="F11" s="11"/>
      <c r="G11" s="9"/>
      <c r="H11" s="9"/>
      <c r="I11" s="34"/>
      <c r="J11" s="6"/>
      <c r="K11" s="6"/>
    </row>
    <row r="12" ht="17.4" spans="3:9">
      <c r="C12" s="10" t="s">
        <v>8</v>
      </c>
      <c r="D12" s="12"/>
      <c r="E12" s="13"/>
      <c r="F12" s="13"/>
      <c r="G12" s="13"/>
      <c r="H12" s="13"/>
      <c r="I12" s="35"/>
    </row>
    <row r="13" spans="3:8">
      <c r="C13" s="10" t="s">
        <v>9</v>
      </c>
      <c r="D13" s="12"/>
      <c r="E13" s="12"/>
      <c r="F13" s="12"/>
      <c r="G13" s="12"/>
      <c r="H13" s="12"/>
    </row>
    <row r="14" spans="3:8">
      <c r="C14" s="10" t="s">
        <v>10</v>
      </c>
      <c r="D14" s="12"/>
      <c r="E14" s="12"/>
      <c r="F14" s="12"/>
      <c r="G14" s="14"/>
      <c r="H14" s="12"/>
    </row>
    <row r="15" spans="3:8">
      <c r="C15" s="12"/>
      <c r="D15" s="12"/>
      <c r="E15" s="12"/>
      <c r="F15" s="12"/>
      <c r="G15" s="12"/>
      <c r="H15" s="12"/>
    </row>
    <row r="16" spans="3:8">
      <c r="C16" s="15" t="s">
        <v>11</v>
      </c>
      <c r="D16" s="15" t="s">
        <v>12</v>
      </c>
      <c r="E16" s="15" t="s">
        <v>13</v>
      </c>
      <c r="F16" s="15" t="s">
        <v>14</v>
      </c>
      <c r="G16" s="16"/>
      <c r="H16" s="13"/>
    </row>
    <row r="17" spans="3:8">
      <c r="C17" s="14" t="s">
        <v>15</v>
      </c>
      <c r="D17" s="14">
        <v>0</v>
      </c>
      <c r="E17" s="14">
        <v>0</v>
      </c>
      <c r="F17" s="14">
        <f>SUM(D17+E17)</f>
        <v>0</v>
      </c>
      <c r="G17" s="17"/>
      <c r="H17" s="13"/>
    </row>
    <row r="18" ht="18" customHeight="1" spans="3:8">
      <c r="C18" s="18" t="s">
        <v>15</v>
      </c>
      <c r="D18" s="18">
        <v>0</v>
      </c>
      <c r="E18" s="18">
        <v>0</v>
      </c>
      <c r="F18" s="19">
        <f>SUM(D18+E18)</f>
        <v>0</v>
      </c>
      <c r="G18" s="17"/>
      <c r="H18" s="13"/>
    </row>
    <row r="19" spans="3:8">
      <c r="C19" s="14" t="s">
        <v>15</v>
      </c>
      <c r="D19" s="14">
        <v>0</v>
      </c>
      <c r="E19" s="14">
        <v>0</v>
      </c>
      <c r="F19" s="14">
        <f>SUM(D19+E19)</f>
        <v>0</v>
      </c>
      <c r="G19" s="17"/>
      <c r="H19" s="13"/>
    </row>
    <row r="20" spans="3:8">
      <c r="C20" s="18" t="s">
        <v>15</v>
      </c>
      <c r="D20" s="18">
        <v>0</v>
      </c>
      <c r="E20" s="18">
        <v>0</v>
      </c>
      <c r="F20" s="18">
        <f>SUM(D20+E20)</f>
        <v>0</v>
      </c>
      <c r="G20" s="17"/>
      <c r="H20" s="13"/>
    </row>
    <row r="21" spans="3:8">
      <c r="C21" s="14" t="s">
        <v>15</v>
      </c>
      <c r="D21" s="14">
        <v>0</v>
      </c>
      <c r="E21" s="14">
        <v>0</v>
      </c>
      <c r="F21" s="14">
        <f>SUM(D21+E21)</f>
        <v>0</v>
      </c>
      <c r="G21" s="17"/>
      <c r="H21" s="13"/>
    </row>
    <row r="22" spans="3:8">
      <c r="C22" s="12"/>
      <c r="D22" s="20" t="s">
        <v>16</v>
      </c>
      <c r="E22" s="21"/>
      <c r="F22" s="21">
        <f>SUM(F17+F18+F19+F20+F21)</f>
        <v>0</v>
      </c>
      <c r="G22" s="22"/>
      <c r="H22" s="13"/>
    </row>
    <row r="23" spans="3:8">
      <c r="C23" s="23"/>
      <c r="D23" s="24" t="s">
        <v>17</v>
      </c>
      <c r="E23" s="23"/>
      <c r="F23" s="25">
        <v>0.15</v>
      </c>
      <c r="G23" s="22"/>
      <c r="H23" s="13"/>
    </row>
    <row r="24" spans="3:8">
      <c r="C24" s="12"/>
      <c r="D24" s="15" t="s">
        <v>18</v>
      </c>
      <c r="E24" s="26"/>
      <c r="F24" s="26">
        <f>SUM(F22+(F22*F23))</f>
        <v>0</v>
      </c>
      <c r="G24" s="27"/>
      <c r="H24" s="13"/>
    </row>
    <row r="25" spans="3:8">
      <c r="C25" s="28" t="s">
        <v>19</v>
      </c>
      <c r="D25" s="12"/>
      <c r="E25" s="12"/>
      <c r="F25" s="12"/>
      <c r="G25" s="22"/>
      <c r="H25" s="13"/>
    </row>
    <row r="26" spans="3:8">
      <c r="C26" s="12" t="s">
        <v>20</v>
      </c>
      <c r="D26" s="12"/>
      <c r="E26" s="12"/>
      <c r="F26" s="12"/>
      <c r="G26" s="22"/>
      <c r="H26" s="13"/>
    </row>
    <row r="27" spans="3:8">
      <c r="C27" s="12" t="s">
        <v>21</v>
      </c>
      <c r="D27" s="12"/>
      <c r="E27" s="12"/>
      <c r="F27" s="12"/>
      <c r="G27" s="22"/>
      <c r="H27" s="13"/>
    </row>
    <row r="28" spans="3:8">
      <c r="C28" s="12" t="s">
        <v>22</v>
      </c>
      <c r="D28" s="12"/>
      <c r="E28" s="12"/>
      <c r="F28" s="12"/>
      <c r="G28" s="22"/>
      <c r="H28" s="13"/>
    </row>
    <row r="29" spans="3:8">
      <c r="C29" s="12" t="s">
        <v>23</v>
      </c>
      <c r="D29" s="12"/>
      <c r="E29" s="12"/>
      <c r="F29" s="12"/>
      <c r="G29" s="22"/>
      <c r="H29" s="13"/>
    </row>
    <row r="30" spans="7:8">
      <c r="G30" s="29"/>
      <c r="H30" s="13"/>
    </row>
    <row r="31" spans="7:8">
      <c r="G31" s="29"/>
      <c r="H31" s="13"/>
    </row>
    <row r="32" ht="42" spans="3:8">
      <c r="C32" s="30" t="s">
        <v>24</v>
      </c>
      <c r="G32" s="29"/>
      <c r="H32" s="13"/>
    </row>
    <row r="33" ht="92.4" spans="3:8">
      <c r="C33" s="31" t="s">
        <v>25</v>
      </c>
      <c r="D33" s="32" t="s">
        <v>26</v>
      </c>
      <c r="G33" s="29"/>
      <c r="H33" s="13"/>
    </row>
    <row r="34" spans="4:8">
      <c r="D34" s="32" t="s">
        <v>27</v>
      </c>
      <c r="E34" s="32"/>
      <c r="F34" s="32"/>
      <c r="G34" s="33"/>
      <c r="H34" s="13"/>
    </row>
  </sheetData>
  <mergeCells count="6">
    <mergeCell ref="C2:D2"/>
    <mergeCell ref="E2:F2"/>
    <mergeCell ref="D9:F9"/>
    <mergeCell ref="D10:F10"/>
    <mergeCell ref="D11:F11"/>
    <mergeCell ref="C9:C10"/>
  </mergeCells>
  <pageMargins left="0.7" right="0.7" top="0.75" bottom="0.75" header="0.3" footer="0.3"/>
  <pageSetup paperSize="1" orientation="portrait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Kemal</dc:creator>
  <cp:lastModifiedBy>leanchem</cp:lastModifiedBy>
  <dcterms:created xsi:type="dcterms:W3CDTF">2026-01-28T11:48:00Z</dcterms:created>
  <cp:lastPrinted>2026-01-28T13:01:00Z</cp:lastPrinted>
  <dcterms:modified xsi:type="dcterms:W3CDTF">2026-01-31T09:55:59Z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00BF6331FB484073B722EF55CB9A14CA_13</vt:lpwstr>
  </property>
  <property fmtid="{D5CDD505-2E9C-101B-9397-08002B2CF9AE}" pid="3" name="KSOProductBuildVer">
    <vt:lpwstr>1033-12.2.0.23196</vt:lpwstr>
  </property>
</Properties>
</file>